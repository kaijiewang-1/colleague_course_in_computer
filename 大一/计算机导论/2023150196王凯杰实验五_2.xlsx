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C54F8A0D-9DFC-4498-8F5D-6C69072C7E57}" xr6:coauthVersionLast="47" xr6:coauthVersionMax="47" xr10:uidLastSave="{00000000-0000-0000-0000-000000000000}"/>
  <bookViews>
    <workbookView xWindow="2080" yWindow="2440" windowWidth="19200" windowHeight="1051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9" i="1" l="1"/>
  <c r="C10" i="1"/>
  <c r="D10" i="1"/>
  <c r="E10" i="1"/>
  <c r="B10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<sst xmlns="http://schemas.openxmlformats.org/spreadsheetml/2006/main" count="15" uniqueCount="15">
  <si>
    <t>民生大楼四季销售计划</t>
    <phoneticPr fontId="1" type="noConversion"/>
  </si>
  <si>
    <t>商品种类</t>
    <phoneticPr fontId="1" type="noConversion"/>
  </si>
  <si>
    <t>春季</t>
    <phoneticPr fontId="1" type="noConversion"/>
  </si>
  <si>
    <t>夏季</t>
    <phoneticPr fontId="1" type="noConversion"/>
  </si>
  <si>
    <t>秋季</t>
    <phoneticPr fontId="1" type="noConversion"/>
  </si>
  <si>
    <t>冬季</t>
    <phoneticPr fontId="1" type="noConversion"/>
  </si>
  <si>
    <t>合计</t>
    <phoneticPr fontId="1" type="noConversion"/>
  </si>
  <si>
    <t>服装</t>
    <phoneticPr fontId="1" type="noConversion"/>
  </si>
  <si>
    <t>鞋帽</t>
    <phoneticPr fontId="1" type="noConversion"/>
  </si>
  <si>
    <t>家电</t>
    <phoneticPr fontId="1" type="noConversion"/>
  </si>
  <si>
    <t>百货</t>
    <phoneticPr fontId="1" type="noConversion"/>
  </si>
  <si>
    <t>化妆品</t>
    <phoneticPr fontId="1" type="noConversion"/>
  </si>
  <si>
    <t>总计</t>
    <phoneticPr fontId="1" type="noConversion"/>
  </si>
  <si>
    <t>邓贵康发带</t>
    <phoneticPr fontId="1" type="noConversion"/>
  </si>
  <si>
    <t>销售趋势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</si>
</sst>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[$¥-804]* #,##0_ ;_ [$¥-804]* \-#,##0_ ;_ [$¥-804]* &quot;-&quot;??_ ;_ @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0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ck">
        <color theme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theme="1"/>
      </right>
      <top style="thick">
        <color auto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double">
        <color theme="1"/>
      </top>
      <bottom style="double">
        <color theme="1"/>
      </bottom>
      <diagonal/>
    </border>
    <border>
      <left/>
      <right/>
      <top style="double">
        <color theme="1"/>
      </top>
      <bottom style="double">
        <color theme="1"/>
      </bottom>
      <diagonal/>
    </border>
    <border>
      <left/>
      <right style="thick">
        <color theme="1"/>
      </right>
      <top style="double">
        <color theme="1"/>
      </top>
      <bottom style="double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76" fontId="0" fillId="0" borderId="5" xfId="0" applyNumberFormat="1" applyBorder="1"/>
    <xf numFmtId="176" fontId="0" fillId="0" borderId="7" xfId="0" applyNumberForma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服装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Sheet1!$B$3:$F$3</c15:sqref>
                  </c15:fullRef>
                </c:ext>
              </c:extLst>
              <c:f>Sheet1!$B$3:$E$3</c:f>
              <c:strCache>
                <c:ptCount val="4"/>
                <c:pt idx="0">
                  <c:v>春季</c:v>
                </c:pt>
                <c:pt idx="1">
                  <c:v>夏季</c:v>
                </c:pt>
                <c:pt idx="2">
                  <c:v>秋季</c:v>
                </c:pt>
                <c:pt idx="3">
                  <c:v>冬季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Sheet1!$B$4:$F$4</c15:sqref>
                  </c15:fullRef>
                </c:ext>
              </c:extLst>
              <c:f>Sheet1!$B$4:$E$4</c:f>
              <c:numCache>
                <c:formatCode>_ [$¥-804]* #,##0_ ;_ [$¥-804]* \-#,##0_ ;_ [$¥-804]* "-"??_ ;_ @_ </c:formatCode>
                <c:ptCount val="4"/>
                <c:pt idx="0">
                  <c:v>75000</c:v>
                </c:pt>
                <c:pt idx="1">
                  <c:v>81500</c:v>
                </c:pt>
                <c:pt idx="2">
                  <c:v>68000</c:v>
                </c:pt>
                <c:pt idx="3">
                  <c:v>75500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6-4311-9F6C-D4AA150C7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9282584"/>
        <c:axId val="779290144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鞋帽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Sheet1!$B$3:$F$3</c15:sqref>
                        </c15:fullRef>
                        <c15:formulaRef>
                          <c15:sqref>Sheet1!$B$3:$E$3</c15:sqref>
                        </c15:formulaRef>
                      </c:ext>
                    </c:extLst>
                    <c:strCache>
                      <c:ptCount val="4"/>
                      <c:pt idx="0">
                        <c:v>春季</c:v>
                      </c:pt>
                      <c:pt idx="1">
                        <c:v>夏季</c:v>
                      </c:pt>
                      <c:pt idx="2">
                        <c:v>秋季</c:v>
                      </c:pt>
                      <c:pt idx="3">
                        <c:v>冬季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Sheet1!$B$5:$F$5</c15:sqref>
                        </c15:fullRef>
                        <c15:formulaRef>
                          <c15:sqref>Sheet1!$B$5:$E$5</c15:sqref>
                        </c15:formulaRef>
                      </c:ext>
                    </c:extLst>
                    <c:numCache>
                      <c:formatCode>_ [$¥-804]* #,##0_ ;_ [$¥-804]* \-#,##0_ ;_ [$¥-804]* "-"??_ ;_ @_ </c:formatCode>
                      <c:ptCount val="4"/>
                      <c:pt idx="0">
                        <c:v>22500</c:v>
                      </c:pt>
                      <c:pt idx="1">
                        <c:v>22800</c:v>
                      </c:pt>
                      <c:pt idx="2">
                        <c:v>24000</c:v>
                      </c:pt>
                      <c:pt idx="3">
                        <c:v>38400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9F6-4311-9F6C-D4AA150C747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家电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Sheet1!$B$3:$F$3</c15:sqref>
                        </c15:fullRef>
                        <c15:formulaRef>
                          <c15:sqref>Sheet1!$B$3:$E$3</c15:sqref>
                        </c15:formulaRef>
                      </c:ext>
                    </c:extLst>
                    <c:strCache>
                      <c:ptCount val="4"/>
                      <c:pt idx="0">
                        <c:v>春季</c:v>
                      </c:pt>
                      <c:pt idx="1">
                        <c:v>夏季</c:v>
                      </c:pt>
                      <c:pt idx="2">
                        <c:v>秋季</c:v>
                      </c:pt>
                      <c:pt idx="3">
                        <c:v>冬季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Sheet1!$B$6:$F$6</c15:sqref>
                        </c15:fullRef>
                        <c15:formulaRef>
                          <c15:sqref>Sheet1!$B$6:$E$6</c15:sqref>
                        </c15:formulaRef>
                      </c:ext>
                    </c:extLst>
                    <c:numCache>
                      <c:formatCode>_ [$¥-804]* #,##0_ ;_ [$¥-804]* \-#,##0_ ;_ [$¥-804]* "-"??_ ;_ @_ </c:formatCode>
                      <c:ptCount val="4"/>
                      <c:pt idx="0">
                        <c:v>686020</c:v>
                      </c:pt>
                      <c:pt idx="1">
                        <c:v>886000</c:v>
                      </c:pt>
                      <c:pt idx="2">
                        <c:v>562000</c:v>
                      </c:pt>
                      <c:pt idx="3">
                        <c:v>749000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9F6-4311-9F6C-D4AA150C747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百货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Sheet1!$B$3:$F$3</c15:sqref>
                        </c15:fullRef>
                        <c15:formulaRef>
                          <c15:sqref>Sheet1!$B$3:$E$3</c15:sqref>
                        </c15:formulaRef>
                      </c:ext>
                    </c:extLst>
                    <c:strCache>
                      <c:ptCount val="4"/>
                      <c:pt idx="0">
                        <c:v>春季</c:v>
                      </c:pt>
                      <c:pt idx="1">
                        <c:v>夏季</c:v>
                      </c:pt>
                      <c:pt idx="2">
                        <c:v>秋季</c:v>
                      </c:pt>
                      <c:pt idx="3">
                        <c:v>冬季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Sheet1!$B$7:$F$7</c15:sqref>
                        </c15:fullRef>
                        <c15:formulaRef>
                          <c15:sqref>Sheet1!$B$7:$E$7</c15:sqref>
                        </c15:formulaRef>
                      </c:ext>
                    </c:extLst>
                    <c:numCache>
                      <c:formatCode>_ [$¥-804]* #,##0_ ;_ [$¥-804]* \-#,##0_ ;_ [$¥-804]* "-"??_ ;_ @_ </c:formatCode>
                      <c:ptCount val="4"/>
                      <c:pt idx="0">
                        <c:v>18900</c:v>
                      </c:pt>
                      <c:pt idx="1">
                        <c:v>12800</c:v>
                      </c:pt>
                      <c:pt idx="2">
                        <c:v>14400</c:v>
                      </c:pt>
                      <c:pt idx="3">
                        <c:v>15500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9F6-4311-9F6C-D4AA150C747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化妆品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Sheet1!$B$3:$F$3</c15:sqref>
                        </c15:fullRef>
                        <c15:formulaRef>
                          <c15:sqref>Sheet1!$B$3:$E$3</c15:sqref>
                        </c15:formulaRef>
                      </c:ext>
                    </c:extLst>
                    <c:strCache>
                      <c:ptCount val="4"/>
                      <c:pt idx="0">
                        <c:v>春季</c:v>
                      </c:pt>
                      <c:pt idx="1">
                        <c:v>夏季</c:v>
                      </c:pt>
                      <c:pt idx="2">
                        <c:v>秋季</c:v>
                      </c:pt>
                      <c:pt idx="3">
                        <c:v>冬季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Sheet1!$B$8:$F$8</c15:sqref>
                        </c15:fullRef>
                        <c15:formulaRef>
                          <c15:sqref>Sheet1!$B$8:$E$8</c15:sqref>
                        </c15:formulaRef>
                      </c:ext>
                    </c:extLst>
                    <c:numCache>
                      <c:formatCode>_ [$¥-804]* #,##0_ ;_ [$¥-804]* \-#,##0_ ;_ [$¥-804]* "-"??_ ;_ @_ </c:formatCode>
                      <c:ptCount val="4"/>
                      <c:pt idx="0">
                        <c:v>293980</c:v>
                      </c:pt>
                      <c:pt idx="1">
                        <c:v>223900</c:v>
                      </c:pt>
                      <c:pt idx="2">
                        <c:v>191550</c:v>
                      </c:pt>
                      <c:pt idx="3">
                        <c:v>289000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9F6-4311-9F6C-D4AA150C747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  <c:pt idx="0">
                        <c:v>邓贵康发带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Sheet1!$B$3:$F$3</c15:sqref>
                        </c15:fullRef>
                        <c15:formulaRef>
                          <c15:sqref>Sheet1!$B$3:$E$3</c15:sqref>
                        </c15:formulaRef>
                      </c:ext>
                    </c:extLst>
                    <c:strCache>
                      <c:ptCount val="4"/>
                      <c:pt idx="0">
                        <c:v>春季</c:v>
                      </c:pt>
                      <c:pt idx="1">
                        <c:v>夏季</c:v>
                      </c:pt>
                      <c:pt idx="2">
                        <c:v>秋季</c:v>
                      </c:pt>
                      <c:pt idx="3">
                        <c:v>冬季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Sheet1!$B$9:$F$9</c15:sqref>
                        </c15:fullRef>
                        <c15:formulaRef>
                          <c15:sqref>Sheet1!$B$9:$E$9</c15:sqref>
                        </c15:formulaRef>
                      </c:ext>
                    </c:extLst>
                    <c:numCache>
                      <c:formatCode>_ [$¥-804]* #,##0_ ;_ [$¥-804]* \-#,##0_ ;_ [$¥-804]* "-"??_ ;_ @_ </c:formatCode>
                      <c:ptCount val="4"/>
                      <c:pt idx="0">
                        <c:v>100000</c:v>
                      </c:pt>
                      <c:pt idx="1">
                        <c:v>200000</c:v>
                      </c:pt>
                      <c:pt idx="2">
                        <c:v>300000</c:v>
                      </c:pt>
                      <c:pt idx="3">
                        <c:v>400000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9F6-4311-9F6C-D4AA150C747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总计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Sheet1!$B$3:$F$3</c15:sqref>
                        </c15:fullRef>
                        <c15:formulaRef>
                          <c15:sqref>Sheet1!$B$3:$E$3</c15:sqref>
                        </c15:formulaRef>
                      </c:ext>
                    </c:extLst>
                    <c:strCache>
                      <c:ptCount val="4"/>
                      <c:pt idx="0">
                        <c:v>春季</c:v>
                      </c:pt>
                      <c:pt idx="1">
                        <c:v>夏季</c:v>
                      </c:pt>
                      <c:pt idx="2">
                        <c:v>秋季</c:v>
                      </c:pt>
                      <c:pt idx="3">
                        <c:v>冬季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Sheet1!$B$10:$F$10</c15:sqref>
                        </c15:fullRef>
                        <c15:formulaRef>
                          <c15:sqref>Sheet1!$B$10:$E$10</c15:sqref>
                        </c15:formulaRef>
                      </c:ext>
                    </c:extLst>
                    <c:numCache>
                      <c:formatCode>_ [$¥-804]* #,##0_ ;_ [$¥-804]* \-#,##0_ ;_ [$¥-804]* "-"??_ ;_ @_ </c:formatCode>
                      <c:ptCount val="4"/>
                      <c:pt idx="0">
                        <c:v>1196400</c:v>
                      </c:pt>
                      <c:pt idx="1">
                        <c:v>1427000</c:v>
                      </c:pt>
                      <c:pt idx="2">
                        <c:v>1159950</c:v>
                      </c:pt>
                      <c:pt idx="3">
                        <c:v>1567400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9F6-4311-9F6C-D4AA150C747E}"/>
                  </c:ext>
                </c:extLst>
              </c15:ser>
            </c15:filteredBarSeries>
          </c:ext>
        </c:extLst>
      </c:bar3DChart>
      <c:catAx>
        <c:axId val="77928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9290144"/>
        <c:crosses val="autoZero"/>
        <c:auto val="1"/>
        <c:lblAlgn val="ctr"/>
        <c:lblOffset val="100"/>
        <c:noMultiLvlLbl val="0"/>
      </c:catAx>
      <c:valAx>
        <c:axId val="7792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¥-804]* #,##0_ ;_ [$¥-804]* \-#,##0_ ;_ [$¥-804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9282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593725</xdr:colOff>
      <xdr:row>11</xdr:row>
      <xdr:rowOff>3175</xdr:rowOff>
    </xdr:from>
    <xdr:to>
      <xdr:col>5</xdr:col>
      <xdr:colOff>466725</xdr:colOff>
      <xdr:row>26</xdr:row>
      <xdr:rowOff>79375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A72B44E-13A7-7083-B017-40EE3B4EF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"/>
    </sheetView>
  </sheetViews>
  <sheetFormatPr defaultRowHeight="14" x14ac:dyDescent="0.25"/>
  <cols>
    <col min="2" max="5" width="14.6328125" bestFit="1" customWidth="1"/>
    <col min="6" max="6" width="15.7265625" bestFit="1" customWidth="1"/>
  </cols>
  <sheetData>
    <row r="1" spans="1:7" s="1" customFormat="1" ht="26.5" thickTop="1" thickBot="1" x14ac:dyDescent="0.5">
      <c r="A1" s="13" t="s">
        <v>0</v>
      </c>
      <c r="B1" s="14"/>
      <c r="C1" s="14"/>
      <c r="D1" s="14"/>
      <c r="E1" s="14"/>
      <c r="F1" s="15"/>
    </row>
    <row r="2" spans="1:7" ht="15" thickTop="1" thickBot="1" x14ac:dyDescent="0.3">
      <c r="A2" s="8"/>
      <c r="B2" s="9"/>
      <c r="C2" s="9"/>
      <c r="D2" s="9"/>
      <c r="E2" s="9"/>
      <c r="F2" s="10"/>
    </row>
    <row r="3" spans="1:7" ht="14.5" thickTop="1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3" t="s">
        <v>14</v>
      </c>
    </row>
    <row r="4" spans="1:7" x14ac:dyDescent="0.25">
      <c r="A4" s="2" t="s">
        <v>7</v>
      </c>
      <c r="B4" s="5">
        <v>75000</v>
      </c>
      <c r="C4" s="5">
        <v>81500</v>
      </c>
      <c r="D4" s="5">
        <v>68000</v>
      </c>
      <c r="E4" s="5">
        <v>75500</v>
      </c>
      <c r="F4" s="11">
        <f t="shared" ref="F4:F9" si="0">SUM(B4:E4)</f>
        <v>300000</v>
      </c>
    </row>
    <row r="5" spans="1:7" x14ac:dyDescent="0.25">
      <c r="A5" s="2" t="s">
        <v>8</v>
      </c>
      <c r="B5" s="5">
        <v>22500</v>
      </c>
      <c r="C5" s="5">
        <v>22800</v>
      </c>
      <c r="D5" s="5">
        <v>24000</v>
      </c>
      <c r="E5" s="5">
        <v>38400</v>
      </c>
      <c r="F5" s="11">
        <f t="shared" si="0"/>
        <v>107700</v>
      </c>
    </row>
    <row r="6" spans="1:7" x14ac:dyDescent="0.25">
      <c r="A6" s="2" t="s">
        <v>9</v>
      </c>
      <c r="B6" s="5">
        <v>686020</v>
      </c>
      <c r="C6" s="5">
        <v>886000</v>
      </c>
      <c r="D6" s="5">
        <v>562000</v>
      </c>
      <c r="E6" s="5">
        <v>749000</v>
      </c>
      <c r="F6" s="11">
        <f t="shared" si="0"/>
        <v>2883020</v>
      </c>
    </row>
    <row r="7" spans="1:7" x14ac:dyDescent="0.25">
      <c r="A7" s="2" t="s">
        <v>10</v>
      </c>
      <c r="B7" s="5">
        <v>18900</v>
      </c>
      <c r="C7" s="5">
        <v>12800</v>
      </c>
      <c r="D7" s="5">
        <v>14400</v>
      </c>
      <c r="E7" s="5">
        <v>15500</v>
      </c>
      <c r="F7" s="11">
        <f t="shared" si="0"/>
        <v>61600</v>
      </c>
    </row>
    <row r="8" spans="1:7" x14ac:dyDescent="0.25">
      <c r="A8" s="2" t="s">
        <v>11</v>
      </c>
      <c r="B8" s="5">
        <v>293980</v>
      </c>
      <c r="C8" s="5">
        <v>223900</v>
      </c>
      <c r="D8" s="5">
        <v>191550</v>
      </c>
      <c r="E8" s="5">
        <v>289000</v>
      </c>
      <c r="F8" s="11">
        <f t="shared" si="0"/>
        <v>998430</v>
      </c>
    </row>
    <row r="9" spans="1:7" x14ac:dyDescent="0.25">
      <c r="A9" s="2" t="s">
        <v>13</v>
      </c>
      <c r="B9" s="5">
        <v>100000</v>
      </c>
      <c r="C9" s="5">
        <v>200000</v>
      </c>
      <c r="D9" s="5">
        <v>300000</v>
      </c>
      <c r="E9" s="5">
        <v>400000</v>
      </c>
      <c r="F9" s="11">
        <f t="shared" si="0"/>
        <v>1000000</v>
      </c>
    </row>
    <row r="10" spans="1:7" ht="14.5" thickBot="1" x14ac:dyDescent="0.3">
      <c r="A10" s="6" t="s">
        <v>12</v>
      </c>
      <c r="B10" s="12">
        <f>SUM(B4:B9)</f>
        <v>1196400</v>
      </c>
      <c r="C10" s="12">
        <f t="shared" ref="C10:E10" si="1">SUM(C4:C9)</f>
        <v>1427000</v>
      </c>
      <c r="D10" s="12">
        <f t="shared" si="1"/>
        <v>1159950</v>
      </c>
      <c r="E10" s="12">
        <f t="shared" si="1"/>
        <v>1567400</v>
      </c>
      <c r="F10" s="7"/>
    </row>
    <row r="11" spans="1:7" ht="14.5" thickTop="1" x14ac:dyDescent="0.25"/>
  </sheetData>
  <mergeCells count="1">
    <mergeCell ref="A1:F1"/>
  </mergeCells>
  <phoneticPr fontId="1" type="noConversion"/>
  <conditionalFormatting sqref="B9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B4:E9">
    <cfRule type="iconSet" priority="8">
      <iconSet iconSet="3TrafficLights2">
        <cfvo type="percent" val="0"/>
        <cfvo type="percent" val="33"/>
        <cfvo type="percent" val="67"/>
      </iconSet>
    </cfRule>
  </conditionalFormatting>
  <conditionalFormatting sqref="C9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D6">
    <cfRule type="iconSet" priority="7">
      <iconSet iconSet="3TrafficLights2">
        <cfvo type="percent" val="0"/>
        <cfvo type="percent" val="33"/>
        <cfvo type="percent" val="67"/>
      </iconSet>
    </cfRule>
  </conditionalFormatting>
  <conditionalFormatting sqref="D9">
    <cfRule type="iconSet" priority="2">
      <iconSet iconSet="3TrafficLights2">
        <cfvo type="percent" val="0"/>
        <cfvo type="percent" val="33"/>
        <cfvo type="percent" val="67"/>
      </iconSet>
    </cfRule>
  </conditionalFormatting>
  <conditionalFormatting sqref="E9">
    <cfRule type="iconSet" priority="1">
      <iconSet iconSet="3TrafficLights2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E3" xr:uid="{9CE1568A-D956-4ECD-9FAB-798A81FEFFE7}">
      <formula1>$B$3:$E$3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4056424-A225-4248-8AAD-5737AE3CABAE}">
          <x14:colorSeries rgb="FFFFC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G4</xm:sqref>
            </x14:sparkline>
            <x14:sparkline>
              <xm:f>Sheet1!B5:E5</xm:f>
              <xm:sqref>G5</xm:sqref>
            </x14:sparkline>
            <x14:sparkline>
              <xm:f>Sheet1!B6:E6</xm:f>
              <xm:sqref>G6</xm:sqref>
            </x14:sparkline>
            <x14:sparkline>
              <xm:f>Sheet1!B7:E7</xm:f>
              <xm:sqref>G7</xm:sqref>
            </x14:sparkline>
            <x14:sparkline>
              <xm:f>Sheet1!B8:E8</xm:f>
              <xm:sqref>G8</xm:sqref>
            </x14:sparkline>
            <x14:sparkline>
              <xm:f>Sheet1!B9:E9</xm:f>
              <xm:sqref>G9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2023-11-27T14:58:08Z</dcterms:modified>
</cp:coreProperties>
</file>